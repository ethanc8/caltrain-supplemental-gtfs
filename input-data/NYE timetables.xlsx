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train" sheetId="1" r:id="rId4"/>
  </sheets>
  <definedNames/>
  <calcPr/>
</workbook>
</file>

<file path=xl/sharedStrings.xml><?xml version="1.0" encoding="utf-8"?>
<sst xmlns="http://schemas.openxmlformats.org/spreadsheetml/2006/main" count="62" uniqueCount="35">
  <si>
    <t>Route</t>
  </si>
  <si>
    <t>NYE</t>
  </si>
  <si>
    <t>Direction</t>
  </si>
  <si>
    <t>NYE-South</t>
  </si>
  <si>
    <t>SF</t>
  </si>
  <si>
    <t>22 St</t>
  </si>
  <si>
    <t>Bayshore</t>
  </si>
  <si>
    <t>S SF</t>
  </si>
  <si>
    <t>San Bruno</t>
  </si>
  <si>
    <t>Millbrae</t>
  </si>
  <si>
    <t>Burlingame</t>
  </si>
  <si>
    <t>San Mateo</t>
  </si>
  <si>
    <t>Hayward Park</t>
  </si>
  <si>
    <t>Hillsdale</t>
  </si>
  <si>
    <t>Belmont</t>
  </si>
  <si>
    <t>San Carlos</t>
  </si>
  <si>
    <t>Redwood City</t>
  </si>
  <si>
    <t>Menlo Park</t>
  </si>
  <si>
    <t>Palo Alto</t>
  </si>
  <si>
    <t>California Ave</t>
  </si>
  <si>
    <t>San Antonio</t>
  </si>
  <si>
    <t>Mountain View</t>
  </si>
  <si>
    <t>Sunnyvale</t>
  </si>
  <si>
    <t>Lawrence</t>
  </si>
  <si>
    <t>Santa Clara</t>
  </si>
  <si>
    <t>San Jose Diridon</t>
  </si>
  <si>
    <t>Stop ID</t>
  </si>
  <si>
    <t>Stop Direction</t>
  </si>
  <si>
    <t>Depart</t>
  </si>
  <si>
    <t>Trip ID</t>
  </si>
  <si>
    <t>Calendar service</t>
  </si>
  <si>
    <t>Headsign</t>
  </si>
  <si>
    <t>NYE-0100</t>
  </si>
  <si>
    <t>NYE-0130</t>
  </si>
  <si>
    <t>NYE-0200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</si>
</sst>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&quot;:&quot;mm&quot;:&quot;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</row>
    <row r="2">
      <c r="A2" s="1" t="s">
        <v>2</v>
      </c>
      <c r="B2" s="1" t="s">
        <v>3</v>
      </c>
      <c r="C2" s="1"/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  <row r="3">
      <c r="A3" s="1"/>
      <c r="B3" s="1" t="s">
        <v>26</v>
      </c>
      <c r="C3" s="1"/>
      <c r="D3" s="1">
        <v>70012.0</v>
      </c>
      <c r="E3" s="1">
        <v>70022.0</v>
      </c>
      <c r="F3" s="1">
        <v>70032.0</v>
      </c>
      <c r="G3" s="1">
        <v>70042.0</v>
      </c>
      <c r="H3" s="1">
        <v>70052.0</v>
      </c>
      <c r="I3" s="1">
        <v>70062.0</v>
      </c>
      <c r="J3" s="1">
        <v>70082.0</v>
      </c>
      <c r="K3" s="1">
        <v>70092.0</v>
      </c>
      <c r="L3" s="2">
        <v>70102.0</v>
      </c>
      <c r="M3" s="2">
        <v>70112.0</v>
      </c>
      <c r="N3" s="2">
        <v>70122.0</v>
      </c>
      <c r="O3" s="2">
        <v>70132.0</v>
      </c>
      <c r="P3" s="2">
        <v>70142.0</v>
      </c>
      <c r="Q3" s="2">
        <v>70162.0</v>
      </c>
      <c r="R3" s="2">
        <v>70172.0</v>
      </c>
      <c r="S3" s="2">
        <v>70192.0</v>
      </c>
      <c r="T3" s="2">
        <v>70202.0</v>
      </c>
      <c r="U3" s="2">
        <v>70212.0</v>
      </c>
      <c r="V3" s="2">
        <v>70222.0</v>
      </c>
      <c r="W3" s="2">
        <v>70232.0</v>
      </c>
      <c r="X3" s="2">
        <v>70242.0</v>
      </c>
      <c r="Y3" s="2">
        <v>70262.0</v>
      </c>
    </row>
    <row r="4">
      <c r="A4" s="1"/>
      <c r="B4" s="1" t="s">
        <v>27</v>
      </c>
      <c r="C4" s="1"/>
      <c r="D4" s="1" t="s">
        <v>28</v>
      </c>
      <c r="E4" s="1" t="s">
        <v>28</v>
      </c>
      <c r="F4" s="1" t="s">
        <v>28</v>
      </c>
      <c r="G4" s="1" t="s">
        <v>28</v>
      </c>
      <c r="H4" s="1" t="s">
        <v>28</v>
      </c>
      <c r="I4" s="1" t="s">
        <v>28</v>
      </c>
      <c r="J4" s="1" t="s">
        <v>28</v>
      </c>
      <c r="K4" s="1" t="s">
        <v>28</v>
      </c>
      <c r="L4" s="1" t="s">
        <v>28</v>
      </c>
      <c r="M4" s="1" t="s">
        <v>28</v>
      </c>
      <c r="N4" s="1" t="s">
        <v>28</v>
      </c>
      <c r="O4" s="1" t="s">
        <v>28</v>
      </c>
      <c r="P4" s="1" t="s">
        <v>28</v>
      </c>
      <c r="Q4" s="1" t="s">
        <v>28</v>
      </c>
      <c r="R4" s="1" t="s">
        <v>28</v>
      </c>
      <c r="S4" s="1" t="s">
        <v>28</v>
      </c>
      <c r="T4" s="1" t="s">
        <v>28</v>
      </c>
      <c r="U4" s="1" t="s">
        <v>28</v>
      </c>
      <c r="V4" s="1" t="s">
        <v>28</v>
      </c>
      <c r="W4" s="1" t="s">
        <v>28</v>
      </c>
      <c r="X4" s="1" t="s">
        <v>28</v>
      </c>
      <c r="Y4" s="1" t="s">
        <v>28</v>
      </c>
    </row>
    <row r="5">
      <c r="A5" s="3" t="s">
        <v>29</v>
      </c>
      <c r="B5" s="3" t="s">
        <v>30</v>
      </c>
      <c r="C5" s="3" t="s">
        <v>31</v>
      </c>
    </row>
    <row r="6">
      <c r="A6" s="2" t="s">
        <v>32</v>
      </c>
      <c r="B6" s="2" t="s">
        <v>1</v>
      </c>
      <c r="C6" s="2" t="s">
        <v>25</v>
      </c>
      <c r="D6" s="4">
        <v>0.041666666666666664</v>
      </c>
      <c r="E6" s="4">
        <v>0.04513888888888889</v>
      </c>
      <c r="F6" s="4">
        <v>0.04791666666666667</v>
      </c>
      <c r="G6" s="4">
        <v>0.052083333333333336</v>
      </c>
      <c r="H6" s="4">
        <v>0.05416666666666667</v>
      </c>
      <c r="I6" s="4">
        <v>0.05625</v>
      </c>
      <c r="J6" s="4">
        <v>0.059027777777777776</v>
      </c>
      <c r="K6" s="4">
        <v>0.06111111111111111</v>
      </c>
      <c r="L6" s="4">
        <v>0.0625</v>
      </c>
      <c r="M6" s="4">
        <v>0.06388888888888888</v>
      </c>
      <c r="N6" s="4">
        <v>0.06666666666666667</v>
      </c>
      <c r="O6" s="4">
        <v>0.06805555555555555</v>
      </c>
      <c r="P6" s="4">
        <v>0.07083333333333333</v>
      </c>
      <c r="Q6" s="4">
        <v>0.07361111111111111</v>
      </c>
      <c r="R6" s="4">
        <v>0.07569444444444444</v>
      </c>
      <c r="S6" s="4">
        <v>0.07777777777777778</v>
      </c>
      <c r="T6" s="4">
        <v>0.08055555555555556</v>
      </c>
      <c r="U6" s="4">
        <v>0.08263888888888889</v>
      </c>
      <c r="V6" s="4">
        <v>0.08541666666666667</v>
      </c>
      <c r="W6" s="4">
        <v>0.0875</v>
      </c>
      <c r="X6" s="4">
        <v>0.09097222222222222</v>
      </c>
      <c r="Y6" s="4">
        <v>0.09583333333333334</v>
      </c>
    </row>
    <row r="7">
      <c r="A7" s="2" t="s">
        <v>33</v>
      </c>
      <c r="B7" s="2" t="s">
        <v>1</v>
      </c>
      <c r="C7" s="2" t="s">
        <v>25</v>
      </c>
      <c r="D7" s="5">
        <f t="shared" ref="D7:Y7" si="1">D6+TIME(0,30,0)</f>
        <v>0.0625</v>
      </c>
      <c r="E7" s="5">
        <f t="shared" si="1"/>
        <v>0.06597222222</v>
      </c>
      <c r="F7" s="5">
        <f t="shared" si="1"/>
        <v>0.06875</v>
      </c>
      <c r="G7" s="5">
        <f t="shared" si="1"/>
        <v>0.07291666667</v>
      </c>
      <c r="H7" s="5">
        <f t="shared" si="1"/>
        <v>0.075</v>
      </c>
      <c r="I7" s="5">
        <f t="shared" si="1"/>
        <v>0.07708333333</v>
      </c>
      <c r="J7" s="5">
        <f t="shared" si="1"/>
        <v>0.07986111111</v>
      </c>
      <c r="K7" s="5">
        <f t="shared" si="1"/>
        <v>0.08194444444</v>
      </c>
      <c r="L7" s="5">
        <f t="shared" si="1"/>
        <v>0.08333333333</v>
      </c>
      <c r="M7" s="5">
        <f t="shared" si="1"/>
        <v>0.08472222222</v>
      </c>
      <c r="N7" s="5">
        <f t="shared" si="1"/>
        <v>0.0875</v>
      </c>
      <c r="O7" s="5">
        <f t="shared" si="1"/>
        <v>0.08888888889</v>
      </c>
      <c r="P7" s="5">
        <f t="shared" si="1"/>
        <v>0.09166666667</v>
      </c>
      <c r="Q7" s="5">
        <f t="shared" si="1"/>
        <v>0.09444444444</v>
      </c>
      <c r="R7" s="5">
        <f t="shared" si="1"/>
        <v>0.09652777778</v>
      </c>
      <c r="S7" s="5">
        <f t="shared" si="1"/>
        <v>0.09861111111</v>
      </c>
      <c r="T7" s="5">
        <f t="shared" si="1"/>
        <v>0.1013888889</v>
      </c>
      <c r="U7" s="5">
        <f t="shared" si="1"/>
        <v>0.1034722222</v>
      </c>
      <c r="V7" s="5">
        <f t="shared" si="1"/>
        <v>0.10625</v>
      </c>
      <c r="W7" s="5">
        <f t="shared" si="1"/>
        <v>0.1083333333</v>
      </c>
      <c r="X7" s="5">
        <f t="shared" si="1"/>
        <v>0.1118055556</v>
      </c>
      <c r="Y7" s="5">
        <f t="shared" si="1"/>
        <v>0.1166666667</v>
      </c>
    </row>
    <row r="8">
      <c r="A8" s="2" t="s">
        <v>34</v>
      </c>
      <c r="B8" s="2" t="s">
        <v>1</v>
      </c>
      <c r="C8" s="2" t="s">
        <v>25</v>
      </c>
      <c r="D8" s="5">
        <f t="shared" ref="D8:Y8" si="2">D6+TIME(1,0,0)</f>
        <v>0.08333333333</v>
      </c>
      <c r="E8" s="5">
        <f t="shared" si="2"/>
        <v>0.08680555556</v>
      </c>
      <c r="F8" s="5">
        <f t="shared" si="2"/>
        <v>0.08958333333</v>
      </c>
      <c r="G8" s="5">
        <f t="shared" si="2"/>
        <v>0.09375</v>
      </c>
      <c r="H8" s="5">
        <f t="shared" si="2"/>
        <v>0.09583333333</v>
      </c>
      <c r="I8" s="5">
        <f t="shared" si="2"/>
        <v>0.09791666667</v>
      </c>
      <c r="J8" s="5">
        <f t="shared" si="2"/>
        <v>0.1006944444</v>
      </c>
      <c r="K8" s="5">
        <f t="shared" si="2"/>
        <v>0.1027777778</v>
      </c>
      <c r="L8" s="5">
        <f t="shared" si="2"/>
        <v>0.1041666667</v>
      </c>
      <c r="M8" s="5">
        <f t="shared" si="2"/>
        <v>0.1055555556</v>
      </c>
      <c r="N8" s="5">
        <f t="shared" si="2"/>
        <v>0.1083333333</v>
      </c>
      <c r="O8" s="5">
        <f t="shared" si="2"/>
        <v>0.1097222222</v>
      </c>
      <c r="P8" s="5">
        <f t="shared" si="2"/>
        <v>0.1125</v>
      </c>
      <c r="Q8" s="5">
        <f t="shared" si="2"/>
        <v>0.1152777778</v>
      </c>
      <c r="R8" s="5">
        <f t="shared" si="2"/>
        <v>0.1173611111</v>
      </c>
      <c r="S8" s="5">
        <f t="shared" si="2"/>
        <v>0.1194444444</v>
      </c>
      <c r="T8" s="5">
        <f t="shared" si="2"/>
        <v>0.1222222222</v>
      </c>
      <c r="U8" s="5">
        <f t="shared" si="2"/>
        <v>0.1243055556</v>
      </c>
      <c r="V8" s="5">
        <f t="shared" si="2"/>
        <v>0.1270833333</v>
      </c>
      <c r="W8" s="5">
        <f t="shared" si="2"/>
        <v>0.1291666667</v>
      </c>
      <c r="X8" s="5">
        <f t="shared" si="2"/>
        <v>0.1326388889</v>
      </c>
      <c r="Y8" s="5">
        <f t="shared" si="2"/>
        <v>0.1375</v>
      </c>
    </row>
  </sheetData>
  <drawing r:id="rId1"/>
</worksheet>
</file>